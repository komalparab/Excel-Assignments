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mal Parab\OneDrive\Documents\Excelr\Assignment\Completed_Excel\"/>
    </mc:Choice>
  </mc:AlternateContent>
  <xr:revisionPtr revIDLastSave="0" documentId="13_ncr:1_{C89AE50D-690A-4EEE-B8CC-AC4B3AE1C67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Question1_Answer" sheetId="9" r:id="rId2"/>
    <sheet name="2" sheetId="2" r:id="rId3"/>
    <sheet name="Question2_Answer" sheetId="6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7" i="9" l="1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6" i="9"/>
</calcChain>
</file>

<file path=xl/sharedStrings.xml><?xml version="1.0" encoding="utf-8"?>
<sst xmlns="http://schemas.openxmlformats.org/spreadsheetml/2006/main" count="105" uniqueCount="35">
  <si>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</si>
  <si>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</si>
  <si>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</si>
  <si>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</si>
  <si>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</si>
  <si>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</si>
  <si>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</si>
  <si>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</si>
  <si>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</si>
  <si>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</si>
  <si>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</si>
  <si>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</si>
  <si>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</si>
  <si>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</si>
  <si>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</si>
  <si>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</si>
  <si>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</si>
  <si>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</si>
  <si>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</si>
  <si>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</si>
  <si>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</si>
  <si>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</si>
  <si>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Department</t>
  </si>
  <si>
    <t>Experience</t>
  </si>
  <si>
    <t>Designation</t>
  </si>
  <si>
    <t>Profit %</t>
  </si>
  <si>
    <t>Komal Parab</t>
  </si>
  <si>
    <t>Test Engineer</t>
  </si>
  <si>
    <t>R&amp;D</t>
  </si>
  <si>
    <t>Akshata Jadhav</t>
  </si>
  <si>
    <t>Analyst</t>
  </si>
  <si>
    <t>Finance</t>
  </si>
  <si>
    <t>Nihar Rane</t>
  </si>
  <si>
    <t>Business Analyst</t>
  </si>
  <si>
    <t>Sale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</si>
</sst>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Border="1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/>
    <xf numFmtId="10" fontId="0" fillId="0" borderId="0" xfId="0" applyNumberFormat="1" applyAlignment="1"/>
  </cellXfs>
  <cellStyles count="1">
    <cellStyle name="Normal" xfId="0" builtinId="0"/>
  </cellStyles>
  <dxfs count="5">
    <dxf>
      <numFmt numFmtId="14" formatCode="0.00%"/>
      <alignment horizontal="general" vertical="bottom" textRotation="0" wrapText="0" indent="0" justifyLastLine="0" shrinkToFit="0" readingOrder="0"/>
    </dxf>
    <dxf>
      <numFmt numFmtId="164" formatCode="[$$-409]#,##0.00"/>
      <alignment horizontal="general" vertical="bottom" textRotation="0" wrapText="0" indent="0" justifyLastLine="0" shrinkToFit="0" readingOrder="0"/>
    </dxf>
    <dxf>
      <numFmt numFmtId="164" formatCode="[$$-409]#,##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8</xdr:row>
          <xdr:rowOff>9525</xdr:rowOff>
        </xdr:from>
        <xdr:to>
          <xdr:col>11</xdr:col>
          <xdr:colOff>295275</xdr:colOff>
          <xdr:row>10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AF02CFB-6507-4BBB-A362-F203A1EF54CD}" name="Table3" displayName="Table3" ref="B5:J38" totalsRowShown="0" headerRowDxfId="4" dataDxfId="3">
  <autoFilter ref="B5:J38" xr:uid="{AAF02CFB-6507-4BBB-A362-F203A1EF54CD}"/>
  <tableColumns count="9">
    <tableColumn id="1" xr3:uid="{C109F35D-60B4-4739-AD8C-45238BD92D71}" name="Row ID"/>
    <tableColumn id="2" xr3:uid="{4798DA13-99B4-424C-B567-2BACAEC8A0EF}" name="Order Priority"/>
    <tableColumn id="3" xr3:uid="{6EFC6211-5CFC-474A-A7D1-754F9A31FC4B}" name="Quantity ordered"/>
    <tableColumn id="4" xr3:uid="{DADCC115-AAA2-4071-AA3C-C31D4D94DF97}" name="Unit Price"/>
    <tableColumn id="5" xr3:uid="{617FCC01-0814-4E12-AE82-71FCCE3BAC3D}" name="Shipping Cost"/>
    <tableColumn id="6" xr3:uid="{1B518399-8E61-4B25-98A9-B2C487558185}" name="Sale Amount" dataDxfId="2">
      <calculatedColumnFormula>($D6*$E6)</calculatedColumnFormula>
    </tableColumn>
    <tableColumn id="7" xr3:uid="{54192529-2508-4E58-A54B-2433AABFC378}" name="Product Margin per unit"/>
    <tableColumn id="8" xr3:uid="{26DBAD90-93EE-4131-AC6C-708484F51CC5}" name="Profit" dataDxfId="1">
      <calculatedColumnFormula>($H6*$D6)-$F6</calculatedColumnFormula>
    </tableColumn>
    <tableColumn id="9" xr3:uid="{ED6CC2D8-9E27-4829-BB31-56A47731CDD3}" name="Profit %" dataDxfId="0">
      <calculatedColumnFormula>($I6/$G6)*100%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M14" sqref="M14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31" customWidth="1"/>
  </cols>
  <sheetData>
    <row r="2" spans="3:11" x14ac:dyDescent="0.25">
      <c r="C2" s="1" t="s">
        <v>0</v>
      </c>
      <c r="I2" s="1" t="s">
        <v>19</v>
      </c>
    </row>
    <row r="3" spans="3:11" x14ac:dyDescent="0.25">
      <c r="C3" s="1" t="s">
        <v>1</v>
      </c>
    </row>
    <row r="4" spans="3:11" x14ac:dyDescent="0.25">
      <c r="C4" s="1" t="s">
        <v>16</v>
      </c>
    </row>
    <row r="5" spans="3:11" x14ac:dyDescent="0.25">
      <c r="C5" s="1" t="s">
        <v>17</v>
      </c>
    </row>
    <row r="6" spans="3:11" x14ac:dyDescent="0.25">
      <c r="C6" s="1" t="s">
        <v>18</v>
      </c>
    </row>
    <row r="8" spans="3:11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25</v>
      </c>
    </row>
    <row r="9" spans="3:11" x14ac:dyDescent="0.25">
      <c r="C9">
        <v>20847</v>
      </c>
      <c r="D9" t="s">
        <v>5</v>
      </c>
      <c r="E9">
        <v>4</v>
      </c>
      <c r="F9">
        <v>2.84</v>
      </c>
      <c r="G9">
        <v>0.93</v>
      </c>
      <c r="I9">
        <v>0.54</v>
      </c>
    </row>
    <row r="10" spans="3:11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1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1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1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1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1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1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C19DB-8E39-4E56-A6E7-589092EBA401}">
  <sheetPr codeName="Sheet6"/>
  <dimension ref="A1:O38"/>
  <sheetViews>
    <sheetView tabSelected="1" workbookViewId="0">
      <selection activeCell="M11" sqref="M11"/>
    </sheetView>
  </sheetViews>
  <sheetFormatPr defaultRowHeight="15" x14ac:dyDescent="0.25"/>
  <cols>
    <col min="1" max="1" width="12.28515625" customWidth="1"/>
    <col min="2" max="2" width="9.28515625" customWidth="1"/>
    <col min="3" max="3" width="15.28515625" customWidth="1"/>
    <col min="4" max="4" width="18.42578125" customWidth="1"/>
    <col min="5" max="5" width="11.85546875" customWidth="1"/>
    <col min="6" max="6" width="15.140625" customWidth="1"/>
    <col min="7" max="7" width="14.42578125" customWidth="1"/>
    <col min="8" max="8" width="24.140625" customWidth="1"/>
    <col min="10" max="10" width="13.140625" customWidth="1"/>
  </cols>
  <sheetData>
    <row r="1" spans="1:15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25">
      <c r="A5" s="7"/>
      <c r="B5" t="s">
        <v>3</v>
      </c>
      <c r="C5" t="s">
        <v>4</v>
      </c>
      <c r="D5" t="s">
        <v>11</v>
      </c>
      <c r="E5" t="s">
        <v>12</v>
      </c>
      <c r="F5" t="s">
        <v>13</v>
      </c>
      <c r="G5" s="7" t="s">
        <v>34</v>
      </c>
      <c r="H5" t="s">
        <v>15</v>
      </c>
      <c r="I5" s="7" t="s">
        <v>10</v>
      </c>
      <c r="J5" s="7" t="s">
        <v>25</v>
      </c>
      <c r="K5" s="7"/>
      <c r="L5" s="7"/>
      <c r="M5" s="7"/>
      <c r="N5" s="7"/>
      <c r="O5" s="7"/>
    </row>
    <row r="6" spans="1:15" x14ac:dyDescent="0.25">
      <c r="A6" s="7"/>
      <c r="B6">
        <v>20847</v>
      </c>
      <c r="C6" t="s">
        <v>5</v>
      </c>
      <c r="D6">
        <v>4</v>
      </c>
      <c r="E6">
        <v>2.84</v>
      </c>
      <c r="F6">
        <v>0.93</v>
      </c>
      <c r="G6" s="8">
        <f>($D6*$E6)</f>
        <v>11.36</v>
      </c>
      <c r="H6">
        <v>0.54</v>
      </c>
      <c r="I6" s="8">
        <f>($H6*$D6)-$F6</f>
        <v>1.23</v>
      </c>
      <c r="J6" s="9">
        <f>($I6/$G6)*100%</f>
        <v>0.10827464788732395</v>
      </c>
      <c r="K6" s="7"/>
      <c r="L6" s="7"/>
      <c r="M6" s="7"/>
      <c r="N6" s="7"/>
      <c r="O6" s="7"/>
    </row>
    <row r="7" spans="1:15" x14ac:dyDescent="0.25">
      <c r="B7">
        <v>20228</v>
      </c>
      <c r="C7" t="s">
        <v>6</v>
      </c>
      <c r="D7">
        <v>12</v>
      </c>
      <c r="E7">
        <v>500.98</v>
      </c>
      <c r="F7">
        <v>26</v>
      </c>
      <c r="G7" s="8">
        <f t="shared" ref="G7:G38" si="0">($D7*$E7)</f>
        <v>6011.76</v>
      </c>
      <c r="H7">
        <v>0.6</v>
      </c>
      <c r="I7" s="8">
        <f t="shared" ref="I7:I38" si="1">($H7*$D7)-$F7</f>
        <v>-18.8</v>
      </c>
      <c r="J7" s="9">
        <f t="shared" ref="J7:J38" si="2">($I7/$G7)*100%</f>
        <v>-3.1272040134669382E-3</v>
      </c>
    </row>
    <row r="8" spans="1:15" x14ac:dyDescent="0.25">
      <c r="B8">
        <v>21776</v>
      </c>
      <c r="C8" t="s">
        <v>7</v>
      </c>
      <c r="D8">
        <v>22</v>
      </c>
      <c r="E8">
        <v>9.48</v>
      </c>
      <c r="F8">
        <v>7.29</v>
      </c>
      <c r="G8" s="8">
        <f t="shared" si="0"/>
        <v>208.56</v>
      </c>
      <c r="H8">
        <v>0.45</v>
      </c>
      <c r="I8" s="8">
        <f t="shared" si="1"/>
        <v>2.6100000000000003</v>
      </c>
      <c r="J8" s="9">
        <f t="shared" si="2"/>
        <v>1.2514384349827389E-2</v>
      </c>
    </row>
    <row r="9" spans="1:15" x14ac:dyDescent="0.25">
      <c r="B9">
        <v>24844</v>
      </c>
      <c r="C9" t="s">
        <v>8</v>
      </c>
      <c r="D9">
        <v>16</v>
      </c>
      <c r="E9">
        <v>78.69</v>
      </c>
      <c r="F9">
        <v>19.989999999999998</v>
      </c>
      <c r="G9" s="8">
        <f t="shared" si="0"/>
        <v>1259.04</v>
      </c>
      <c r="H9">
        <v>0.43</v>
      </c>
      <c r="I9" s="8">
        <f t="shared" si="1"/>
        <v>-13.11</v>
      </c>
      <c r="J9" s="9">
        <f t="shared" si="2"/>
        <v>-1.0412695386961494E-2</v>
      </c>
    </row>
    <row r="10" spans="1:15" x14ac:dyDescent="0.25">
      <c r="B10">
        <v>24846</v>
      </c>
      <c r="C10" t="s">
        <v>8</v>
      </c>
      <c r="D10">
        <v>7</v>
      </c>
      <c r="E10">
        <v>3.28</v>
      </c>
      <c r="F10">
        <v>2.31</v>
      </c>
      <c r="G10" s="8">
        <f t="shared" si="0"/>
        <v>22.959999999999997</v>
      </c>
      <c r="H10">
        <v>0.56000000000000005</v>
      </c>
      <c r="I10" s="8">
        <f t="shared" si="1"/>
        <v>1.6100000000000003</v>
      </c>
      <c r="J10" s="9">
        <f t="shared" si="2"/>
        <v>7.0121951219512216E-2</v>
      </c>
    </row>
    <row r="11" spans="1:15" x14ac:dyDescent="0.25">
      <c r="B11">
        <v>24847</v>
      </c>
      <c r="C11" t="s">
        <v>8</v>
      </c>
      <c r="D11">
        <v>4</v>
      </c>
      <c r="E11">
        <v>3.28</v>
      </c>
      <c r="F11">
        <v>4.2</v>
      </c>
      <c r="G11" s="8">
        <f t="shared" si="0"/>
        <v>13.12</v>
      </c>
      <c r="H11">
        <v>0.56000000000000005</v>
      </c>
      <c r="I11" s="8">
        <f t="shared" si="1"/>
        <v>-1.96</v>
      </c>
      <c r="J11" s="9">
        <f t="shared" si="2"/>
        <v>-0.14939024390243902</v>
      </c>
    </row>
    <row r="12" spans="1:15" x14ac:dyDescent="0.25">
      <c r="B12">
        <v>24848</v>
      </c>
      <c r="C12" t="s">
        <v>8</v>
      </c>
      <c r="D12">
        <v>4</v>
      </c>
      <c r="E12">
        <v>3.58</v>
      </c>
      <c r="F12">
        <v>1.63</v>
      </c>
      <c r="G12" s="8">
        <f t="shared" si="0"/>
        <v>14.32</v>
      </c>
      <c r="H12">
        <v>0.36</v>
      </c>
      <c r="I12" s="8">
        <f t="shared" si="1"/>
        <v>-0.18999999999999995</v>
      </c>
      <c r="J12" s="9">
        <f t="shared" si="2"/>
        <v>-1.3268156424581002E-2</v>
      </c>
    </row>
    <row r="13" spans="1:15" x14ac:dyDescent="0.25">
      <c r="B13">
        <v>18181</v>
      </c>
      <c r="C13" t="s">
        <v>7</v>
      </c>
      <c r="D13">
        <v>7</v>
      </c>
      <c r="E13">
        <v>4.42</v>
      </c>
      <c r="F13">
        <v>4.99</v>
      </c>
      <c r="G13" s="8">
        <f t="shared" si="0"/>
        <v>30.939999999999998</v>
      </c>
      <c r="H13">
        <v>0.38</v>
      </c>
      <c r="I13" s="8">
        <f t="shared" si="1"/>
        <v>-2.33</v>
      </c>
      <c r="J13" s="9">
        <f t="shared" si="2"/>
        <v>-7.5307045895281199E-2</v>
      </c>
    </row>
    <row r="14" spans="1:15" x14ac:dyDescent="0.25">
      <c r="B14">
        <v>20925</v>
      </c>
      <c r="C14" t="s">
        <v>8</v>
      </c>
      <c r="D14">
        <v>10</v>
      </c>
      <c r="E14">
        <v>35.94</v>
      </c>
      <c r="F14">
        <v>6.66</v>
      </c>
      <c r="G14" s="8">
        <f t="shared" si="0"/>
        <v>359.4</v>
      </c>
      <c r="H14">
        <v>0.4</v>
      </c>
      <c r="I14" s="8">
        <f t="shared" si="1"/>
        <v>-2.66</v>
      </c>
      <c r="J14" s="9">
        <f t="shared" si="2"/>
        <v>-7.4012242626599898E-3</v>
      </c>
    </row>
    <row r="15" spans="1:15" x14ac:dyDescent="0.25">
      <c r="B15">
        <v>26267</v>
      </c>
      <c r="C15" t="s">
        <v>5</v>
      </c>
      <c r="D15">
        <v>6</v>
      </c>
      <c r="E15">
        <v>2.98</v>
      </c>
      <c r="F15">
        <v>1.58</v>
      </c>
      <c r="G15" s="8">
        <f t="shared" si="0"/>
        <v>17.88</v>
      </c>
      <c r="H15">
        <v>0.39</v>
      </c>
      <c r="I15" s="8">
        <f t="shared" si="1"/>
        <v>0.75999999999999979</v>
      </c>
      <c r="J15" s="9">
        <f t="shared" si="2"/>
        <v>4.25055928411633E-2</v>
      </c>
    </row>
    <row r="16" spans="1:15" x14ac:dyDescent="0.25">
      <c r="B16">
        <v>26268</v>
      </c>
      <c r="C16" t="s">
        <v>5</v>
      </c>
      <c r="D16">
        <v>10</v>
      </c>
      <c r="E16">
        <v>115.99</v>
      </c>
      <c r="F16">
        <v>2.5</v>
      </c>
      <c r="G16" s="8">
        <f t="shared" si="0"/>
        <v>1159.8999999999999</v>
      </c>
      <c r="H16">
        <v>0.55000000000000004</v>
      </c>
      <c r="I16" s="8">
        <f t="shared" si="1"/>
        <v>3</v>
      </c>
      <c r="J16" s="9">
        <f t="shared" si="2"/>
        <v>2.5864298646435043E-3</v>
      </c>
    </row>
    <row r="17" spans="2:10" x14ac:dyDescent="0.25">
      <c r="B17">
        <v>23890</v>
      </c>
      <c r="C17" t="s">
        <v>5</v>
      </c>
      <c r="D17">
        <v>17</v>
      </c>
      <c r="E17">
        <v>26.48</v>
      </c>
      <c r="F17">
        <v>6.93</v>
      </c>
      <c r="G17" s="8">
        <f t="shared" si="0"/>
        <v>450.16</v>
      </c>
      <c r="H17">
        <v>0.49</v>
      </c>
      <c r="I17" s="8">
        <f t="shared" si="1"/>
        <v>1.4000000000000004</v>
      </c>
      <c r="J17" s="9">
        <f t="shared" si="2"/>
        <v>3.1100053314377118E-3</v>
      </c>
    </row>
    <row r="18" spans="2:10" x14ac:dyDescent="0.25">
      <c r="B18">
        <v>24063</v>
      </c>
      <c r="C18" t="s">
        <v>6</v>
      </c>
      <c r="D18">
        <v>18</v>
      </c>
      <c r="E18">
        <v>12.99</v>
      </c>
      <c r="F18">
        <v>9.44</v>
      </c>
      <c r="G18" s="8">
        <f t="shared" si="0"/>
        <v>233.82</v>
      </c>
      <c r="H18">
        <v>0.39</v>
      </c>
      <c r="I18" s="8">
        <f t="shared" si="1"/>
        <v>-2.419999999999999</v>
      </c>
      <c r="J18" s="9">
        <f t="shared" si="2"/>
        <v>-1.0349841758617737E-2</v>
      </c>
    </row>
    <row r="19" spans="2:10" x14ac:dyDescent="0.25">
      <c r="B19">
        <v>5890</v>
      </c>
      <c r="C19" t="s">
        <v>5</v>
      </c>
      <c r="D19">
        <v>70</v>
      </c>
      <c r="E19">
        <v>26.48</v>
      </c>
      <c r="F19">
        <v>6.93</v>
      </c>
      <c r="G19" s="8">
        <f t="shared" si="0"/>
        <v>1853.6000000000001</v>
      </c>
      <c r="H19">
        <v>0.49</v>
      </c>
      <c r="I19" s="8">
        <f t="shared" si="1"/>
        <v>27.369999999999997</v>
      </c>
      <c r="J19" s="9">
        <f t="shared" si="2"/>
        <v>1.476586102719033E-2</v>
      </c>
    </row>
    <row r="20" spans="2:10" x14ac:dyDescent="0.25">
      <c r="B20">
        <v>6062</v>
      </c>
      <c r="C20" t="s">
        <v>6</v>
      </c>
      <c r="D20">
        <v>58</v>
      </c>
      <c r="E20">
        <v>5</v>
      </c>
      <c r="F20">
        <v>3.39</v>
      </c>
      <c r="G20" s="8">
        <f t="shared" si="0"/>
        <v>290</v>
      </c>
      <c r="H20">
        <v>0.37</v>
      </c>
      <c r="I20" s="8">
        <f t="shared" si="1"/>
        <v>18.07</v>
      </c>
      <c r="J20" s="9">
        <f t="shared" si="2"/>
        <v>6.2310344827586205E-2</v>
      </c>
    </row>
    <row r="21" spans="2:10" x14ac:dyDescent="0.25">
      <c r="B21">
        <v>6063</v>
      </c>
      <c r="C21" t="s">
        <v>6</v>
      </c>
      <c r="D21">
        <v>71</v>
      </c>
      <c r="E21">
        <v>12.99</v>
      </c>
      <c r="F21">
        <v>9.44</v>
      </c>
      <c r="G21" s="8">
        <f t="shared" si="0"/>
        <v>922.29</v>
      </c>
      <c r="H21">
        <v>0.39</v>
      </c>
      <c r="I21" s="8">
        <f t="shared" si="1"/>
        <v>18.25</v>
      </c>
      <c r="J21" s="9">
        <f t="shared" si="2"/>
        <v>1.9787702349586357E-2</v>
      </c>
    </row>
    <row r="22" spans="2:10" x14ac:dyDescent="0.25">
      <c r="B22">
        <v>20631</v>
      </c>
      <c r="C22" t="s">
        <v>5</v>
      </c>
      <c r="D22">
        <v>1</v>
      </c>
      <c r="E22">
        <v>55.48</v>
      </c>
      <c r="F22">
        <v>14.3</v>
      </c>
      <c r="G22" s="8">
        <f t="shared" si="0"/>
        <v>55.48</v>
      </c>
      <c r="H22">
        <v>0.37</v>
      </c>
      <c r="I22" s="8">
        <f t="shared" si="1"/>
        <v>-13.930000000000001</v>
      </c>
      <c r="J22" s="9">
        <f t="shared" si="2"/>
        <v>-0.25108147080028842</v>
      </c>
    </row>
    <row r="23" spans="2:10" x14ac:dyDescent="0.25">
      <c r="B23">
        <v>20632</v>
      </c>
      <c r="C23" t="s">
        <v>5</v>
      </c>
      <c r="D23">
        <v>1</v>
      </c>
      <c r="E23">
        <v>1.68</v>
      </c>
      <c r="F23">
        <v>1.57</v>
      </c>
      <c r="G23" s="8">
        <f t="shared" si="0"/>
        <v>1.68</v>
      </c>
      <c r="H23">
        <v>0.59</v>
      </c>
      <c r="I23" s="8">
        <f t="shared" si="1"/>
        <v>-0.98000000000000009</v>
      </c>
      <c r="J23" s="9">
        <f t="shared" si="2"/>
        <v>-0.58333333333333337</v>
      </c>
    </row>
    <row r="24" spans="2:10" x14ac:dyDescent="0.25">
      <c r="B24">
        <v>23967</v>
      </c>
      <c r="C24" t="s">
        <v>6</v>
      </c>
      <c r="D24">
        <v>12</v>
      </c>
      <c r="E24">
        <v>4.1399999999999997</v>
      </c>
      <c r="F24">
        <v>6.6</v>
      </c>
      <c r="G24" s="8">
        <f t="shared" si="0"/>
        <v>49.679999999999993</v>
      </c>
      <c r="H24">
        <v>0.49</v>
      </c>
      <c r="I24" s="8">
        <f t="shared" si="1"/>
        <v>-0.71999999999999975</v>
      </c>
      <c r="J24" s="9">
        <f t="shared" si="2"/>
        <v>-1.4492753623188403E-2</v>
      </c>
    </row>
    <row r="25" spans="2:10" x14ac:dyDescent="0.25">
      <c r="B25">
        <v>23509</v>
      </c>
      <c r="C25" t="s">
        <v>5</v>
      </c>
      <c r="D25">
        <v>13</v>
      </c>
      <c r="E25">
        <v>34.99</v>
      </c>
      <c r="F25">
        <v>7.73</v>
      </c>
      <c r="G25" s="8">
        <f t="shared" si="0"/>
        <v>454.87</v>
      </c>
      <c r="H25">
        <v>0.59</v>
      </c>
      <c r="I25" s="8">
        <f t="shared" si="1"/>
        <v>-6.0000000000000497E-2</v>
      </c>
      <c r="J25" s="9">
        <f t="shared" si="2"/>
        <v>-1.3190581924506012E-4</v>
      </c>
    </row>
    <row r="26" spans="2:10" x14ac:dyDescent="0.25">
      <c r="B26">
        <v>23612</v>
      </c>
      <c r="C26" t="s">
        <v>5</v>
      </c>
      <c r="D26">
        <v>2</v>
      </c>
      <c r="E26">
        <v>17.98</v>
      </c>
      <c r="F26">
        <v>8.51</v>
      </c>
      <c r="G26" s="8">
        <f t="shared" si="0"/>
        <v>35.96</v>
      </c>
      <c r="H26">
        <v>0.4</v>
      </c>
      <c r="I26" s="8">
        <f t="shared" si="1"/>
        <v>-7.71</v>
      </c>
      <c r="J26" s="9">
        <f t="shared" si="2"/>
        <v>-0.21440489432703003</v>
      </c>
    </row>
    <row r="27" spans="2:10" x14ac:dyDescent="0.25">
      <c r="B27">
        <v>23278</v>
      </c>
      <c r="C27" t="s">
        <v>8</v>
      </c>
      <c r="D27">
        <v>8</v>
      </c>
      <c r="E27">
        <v>125.99</v>
      </c>
      <c r="F27">
        <v>7.69</v>
      </c>
      <c r="G27" s="8">
        <f t="shared" si="0"/>
        <v>1007.92</v>
      </c>
      <c r="H27">
        <v>0.59</v>
      </c>
      <c r="I27" s="8">
        <f t="shared" si="1"/>
        <v>-2.9700000000000006</v>
      </c>
      <c r="J27" s="9">
        <f t="shared" si="2"/>
        <v>-2.9466624335264713E-3</v>
      </c>
    </row>
    <row r="28" spans="2:10" x14ac:dyDescent="0.25">
      <c r="B28">
        <v>19355</v>
      </c>
      <c r="C28" t="s">
        <v>9</v>
      </c>
      <c r="D28">
        <v>22</v>
      </c>
      <c r="E28">
        <v>205.99</v>
      </c>
      <c r="F28">
        <v>8.99</v>
      </c>
      <c r="G28" s="8">
        <f t="shared" si="0"/>
        <v>4531.7800000000007</v>
      </c>
      <c r="H28">
        <v>0.56000000000000005</v>
      </c>
      <c r="I28" s="8">
        <f t="shared" si="1"/>
        <v>3.33</v>
      </c>
      <c r="J28" s="9">
        <f t="shared" si="2"/>
        <v>7.3481060422174059E-4</v>
      </c>
    </row>
    <row r="29" spans="2:10" x14ac:dyDescent="0.25">
      <c r="B29">
        <v>23654</v>
      </c>
      <c r="C29" t="s">
        <v>6</v>
      </c>
      <c r="D29">
        <v>13</v>
      </c>
      <c r="E29">
        <v>4.24</v>
      </c>
      <c r="F29">
        <v>5.41</v>
      </c>
      <c r="G29" s="8">
        <f t="shared" si="0"/>
        <v>55.120000000000005</v>
      </c>
      <c r="H29">
        <v>0.35</v>
      </c>
      <c r="I29" s="8">
        <f t="shared" si="1"/>
        <v>-0.86000000000000032</v>
      </c>
      <c r="J29" s="9">
        <f t="shared" si="2"/>
        <v>-1.5602322206095795E-2</v>
      </c>
    </row>
    <row r="30" spans="2:10" x14ac:dyDescent="0.25">
      <c r="B30">
        <v>23655</v>
      </c>
      <c r="C30" t="s">
        <v>6</v>
      </c>
      <c r="D30">
        <v>18</v>
      </c>
      <c r="E30">
        <v>2.94</v>
      </c>
      <c r="F30">
        <v>0.7</v>
      </c>
      <c r="G30" s="8">
        <f t="shared" si="0"/>
        <v>52.92</v>
      </c>
      <c r="H30">
        <v>0.57999999999999996</v>
      </c>
      <c r="I30" s="8">
        <f t="shared" si="1"/>
        <v>9.74</v>
      </c>
      <c r="J30" s="9">
        <f t="shared" si="2"/>
        <v>0.18405139833711262</v>
      </c>
    </row>
    <row r="31" spans="2:10" x14ac:dyDescent="0.25">
      <c r="B31">
        <v>25933</v>
      </c>
      <c r="C31" t="s">
        <v>5</v>
      </c>
      <c r="D31">
        <v>6</v>
      </c>
      <c r="E31">
        <v>99.99</v>
      </c>
      <c r="F31">
        <v>19.989999999999998</v>
      </c>
      <c r="G31" s="8">
        <f t="shared" si="0"/>
        <v>599.93999999999994</v>
      </c>
      <c r="H31">
        <v>0.52</v>
      </c>
      <c r="I31" s="8">
        <f t="shared" si="1"/>
        <v>-16.869999999999997</v>
      </c>
      <c r="J31" s="9">
        <f t="shared" si="2"/>
        <v>-2.8119478614528119E-2</v>
      </c>
    </row>
    <row r="32" spans="2:10" x14ac:dyDescent="0.25">
      <c r="B32">
        <v>20697</v>
      </c>
      <c r="C32" t="s">
        <v>8</v>
      </c>
      <c r="D32">
        <v>6</v>
      </c>
      <c r="E32">
        <v>115.99</v>
      </c>
      <c r="F32">
        <v>2.5</v>
      </c>
      <c r="G32" s="8">
        <f t="shared" si="0"/>
        <v>695.93999999999994</v>
      </c>
      <c r="H32">
        <v>0.56999999999999995</v>
      </c>
      <c r="I32" s="8">
        <f t="shared" si="1"/>
        <v>0.91999999999999993</v>
      </c>
      <c r="J32" s="9">
        <f t="shared" si="2"/>
        <v>1.321953041928902E-3</v>
      </c>
    </row>
    <row r="33" spans="2:10" x14ac:dyDescent="0.25">
      <c r="B33">
        <v>20698</v>
      </c>
      <c r="C33" t="s">
        <v>8</v>
      </c>
      <c r="D33">
        <v>1</v>
      </c>
      <c r="E33">
        <v>3502.14</v>
      </c>
      <c r="F33">
        <v>8.73</v>
      </c>
      <c r="G33" s="8">
        <f t="shared" si="0"/>
        <v>3502.14</v>
      </c>
      <c r="H33">
        <v>0.56999999999999995</v>
      </c>
      <c r="I33" s="8">
        <f t="shared" si="1"/>
        <v>-8.16</v>
      </c>
      <c r="J33" s="9">
        <f t="shared" si="2"/>
        <v>-2.3300039404478405E-3</v>
      </c>
    </row>
    <row r="34" spans="2:10" x14ac:dyDescent="0.25">
      <c r="B34">
        <v>22890</v>
      </c>
      <c r="C34" t="s">
        <v>5</v>
      </c>
      <c r="D34">
        <v>17</v>
      </c>
      <c r="E34">
        <v>175.99</v>
      </c>
      <c r="F34">
        <v>5.79</v>
      </c>
      <c r="G34" s="8">
        <f t="shared" si="0"/>
        <v>2991.83</v>
      </c>
      <c r="H34">
        <v>0.36</v>
      </c>
      <c r="I34" s="8">
        <f t="shared" si="1"/>
        <v>0.33000000000000007</v>
      </c>
      <c r="J34" s="9">
        <f t="shared" si="2"/>
        <v>1.1030038471437217E-4</v>
      </c>
    </row>
    <row r="35" spans="2:10" x14ac:dyDescent="0.25">
      <c r="B35">
        <v>25354</v>
      </c>
      <c r="C35" t="s">
        <v>5</v>
      </c>
      <c r="D35">
        <v>20</v>
      </c>
      <c r="E35">
        <v>155.06</v>
      </c>
      <c r="F35">
        <v>1.49</v>
      </c>
      <c r="G35" s="8">
        <f t="shared" si="0"/>
        <v>3101.2</v>
      </c>
      <c r="H35">
        <v>0.38</v>
      </c>
      <c r="I35" s="8">
        <f t="shared" si="1"/>
        <v>6.1099999999999994</v>
      </c>
      <c r="J35" s="9">
        <f t="shared" si="2"/>
        <v>1.9702050819037789E-3</v>
      </c>
    </row>
    <row r="36" spans="2:10" x14ac:dyDescent="0.25">
      <c r="B36">
        <v>21017</v>
      </c>
      <c r="C36" t="s">
        <v>6</v>
      </c>
      <c r="D36">
        <v>17</v>
      </c>
      <c r="E36">
        <v>5.98</v>
      </c>
      <c r="F36">
        <v>0.7</v>
      </c>
      <c r="G36" s="8">
        <f t="shared" si="0"/>
        <v>101.66000000000001</v>
      </c>
      <c r="H36">
        <v>0.56000000000000005</v>
      </c>
      <c r="I36" s="8">
        <f t="shared" si="1"/>
        <v>8.8200000000000021</v>
      </c>
      <c r="J36" s="9">
        <f t="shared" si="2"/>
        <v>8.6759787527050963E-2</v>
      </c>
    </row>
    <row r="37" spans="2:10" x14ac:dyDescent="0.25">
      <c r="B37">
        <v>21019</v>
      </c>
      <c r="C37" t="s">
        <v>6</v>
      </c>
      <c r="D37">
        <v>3</v>
      </c>
      <c r="E37">
        <v>29.14</v>
      </c>
      <c r="F37">
        <v>5.15</v>
      </c>
      <c r="G37" s="8">
        <f t="shared" si="0"/>
        <v>87.42</v>
      </c>
      <c r="H37">
        <v>0.36</v>
      </c>
      <c r="I37" s="8">
        <f t="shared" si="1"/>
        <v>-4.07</v>
      </c>
      <c r="J37" s="9">
        <f t="shared" si="2"/>
        <v>-4.6556851978952186E-2</v>
      </c>
    </row>
    <row r="38" spans="2:10" x14ac:dyDescent="0.25">
      <c r="B38">
        <v>23274</v>
      </c>
      <c r="C38" t="s">
        <v>9</v>
      </c>
      <c r="D38">
        <v>17</v>
      </c>
      <c r="E38">
        <v>3.69</v>
      </c>
      <c r="F38">
        <v>4.8600000000000003</v>
      </c>
      <c r="G38" s="8">
        <f t="shared" si="0"/>
        <v>62.73</v>
      </c>
      <c r="H38">
        <v>0.38</v>
      </c>
      <c r="I38" s="8">
        <f t="shared" si="1"/>
        <v>1.5999999999999996</v>
      </c>
      <c r="J38" s="9">
        <f t="shared" si="2"/>
        <v>2.5506137414315316E-2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C4"/>
  <sheetViews>
    <sheetView topLeftCell="B1" workbookViewId="0">
      <selection activeCell="K7" sqref="K7"/>
    </sheetView>
  </sheetViews>
  <sheetFormatPr defaultRowHeight="15" x14ac:dyDescent="0.25"/>
  <sheetData>
    <row r="3" spans="3:3" x14ac:dyDescent="0.25">
      <c r="C3" s="1" t="s">
        <v>2</v>
      </c>
    </row>
    <row r="4" spans="3:3" x14ac:dyDescent="0.25">
      <c r="C4" s="1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545A-B88F-4425-8DEF-7283B28637A4}">
  <sheetPr codeName="Sheet3"/>
  <dimension ref="A1:G65"/>
  <sheetViews>
    <sheetView zoomScale="93" zoomScaleNormal="93" workbookViewId="0">
      <selection activeCell="D8" sqref="D8"/>
    </sheetView>
  </sheetViews>
  <sheetFormatPr defaultRowHeight="15" x14ac:dyDescent="0.25"/>
  <cols>
    <col min="1" max="1" width="15.42578125" customWidth="1"/>
    <col min="2" max="2" width="17.5703125" customWidth="1"/>
    <col min="3" max="3" width="15.28515625" customWidth="1"/>
    <col min="4" max="4" width="17.42578125" customWidth="1"/>
    <col min="5" max="5" width="13" customWidth="1"/>
    <col min="6" max="6" width="13.7109375" customWidth="1"/>
    <col min="7" max="7" width="16.42578125" customWidth="1"/>
  </cols>
  <sheetData>
    <row r="1" spans="1:7" ht="18.75" x14ac:dyDescent="0.3">
      <c r="A1" s="5" t="s">
        <v>21</v>
      </c>
      <c r="B1" s="5" t="s">
        <v>24</v>
      </c>
      <c r="C1" s="5" t="s">
        <v>23</v>
      </c>
      <c r="D1" s="6" t="s">
        <v>22</v>
      </c>
    </row>
    <row r="2" spans="1:7" x14ac:dyDescent="0.25">
      <c r="A2" s="4" t="s">
        <v>26</v>
      </c>
      <c r="B2" s="4" t="s">
        <v>27</v>
      </c>
      <c r="C2" s="4">
        <v>3</v>
      </c>
      <c r="D2" s="4" t="s">
        <v>28</v>
      </c>
    </row>
    <row r="3" spans="1:7" x14ac:dyDescent="0.25">
      <c r="A3" s="4" t="s">
        <v>29</v>
      </c>
      <c r="B3" s="4" t="s">
        <v>30</v>
      </c>
      <c r="C3" s="4">
        <v>4</v>
      </c>
      <c r="D3" s="4" t="s">
        <v>31</v>
      </c>
    </row>
    <row r="4" spans="1:7" x14ac:dyDescent="0.25">
      <c r="A4" s="4" t="s">
        <v>32</v>
      </c>
      <c r="B4" s="4" t="s">
        <v>33</v>
      </c>
      <c r="C4" s="4">
        <v>6</v>
      </c>
      <c r="D4" s="4" t="s">
        <v>31</v>
      </c>
    </row>
    <row r="5" spans="1:7" x14ac:dyDescent="0.25">
      <c r="A5" s="4"/>
      <c r="B5" s="4"/>
      <c r="C5" s="4"/>
      <c r="D5" s="4"/>
    </row>
    <row r="6" spans="1:7" x14ac:dyDescent="0.25">
      <c r="A6" s="4"/>
      <c r="B6" s="4"/>
      <c r="C6" s="4"/>
      <c r="D6" s="4"/>
      <c r="E6" s="3"/>
      <c r="F6" s="3"/>
      <c r="G6" s="3"/>
    </row>
    <row r="7" spans="1:7" x14ac:dyDescent="0.25">
      <c r="E7" s="3"/>
      <c r="F7" s="3"/>
      <c r="G7" s="3"/>
    </row>
    <row r="8" spans="1:7" x14ac:dyDescent="0.25">
      <c r="E8" s="3"/>
      <c r="F8" s="3"/>
      <c r="G8" s="3"/>
    </row>
    <row r="9" spans="1:7" x14ac:dyDescent="0.25">
      <c r="E9" s="3"/>
      <c r="F9" s="3"/>
      <c r="G9" s="3"/>
    </row>
    <row r="10" spans="1:7" x14ac:dyDescent="0.25">
      <c r="E10" s="3"/>
      <c r="F10" s="3"/>
      <c r="G10" s="3"/>
    </row>
    <row r="11" spans="1:7" x14ac:dyDescent="0.25">
      <c r="E11" s="3"/>
      <c r="F11" s="3"/>
      <c r="G11" s="3"/>
    </row>
    <row r="12" spans="1:7" x14ac:dyDescent="0.25">
      <c r="E12" s="3"/>
      <c r="F12" s="3"/>
      <c r="G12" s="3"/>
    </row>
    <row r="65" spans="4:4" x14ac:dyDescent="0.25">
      <c r="D65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autoPict="0" r:id="rId4">
            <anchor moveWithCells="1">
              <from>
                <xdr:col>9</xdr:col>
                <xdr:colOff>180975</xdr:colOff>
                <xdr:row>8</xdr:row>
                <xdr:rowOff>9525</xdr:rowOff>
              </from>
              <to>
                <xdr:col>11</xdr:col>
                <xdr:colOff>295275</xdr:colOff>
                <xdr:row>10</xdr:row>
                <xdr:rowOff>114300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Question1_Answer</vt:lpstr>
      <vt:lpstr>2</vt:lpstr>
      <vt:lpstr>Question2_Answer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Komal Parab</cp:lastModifiedBy>
  <dcterms:created xsi:type="dcterms:W3CDTF">2015-06-05T18:17:20Z</dcterms:created>
  <dcterms:modified xsi:type="dcterms:W3CDTF">2023-09-23T15:31:46Z</dcterms:modified>
</cp:coreProperties>
</file>